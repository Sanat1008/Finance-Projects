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nat\OneDrive\Desktop\ds\"/>
    </mc:Choice>
  </mc:AlternateContent>
  <bookViews>
    <workbookView xWindow="0" yWindow="0" windowWidth="23040" windowHeight="9264" activeTab="6"/>
  </bookViews>
  <sheets>
    <sheet name="Cover Page" sheetId="7" r:id="rId1"/>
    <sheet name="FCF" sheetId="1" r:id="rId2"/>
    <sheet name="WACC" sheetId="2" r:id="rId3"/>
    <sheet name="Terminal Value" sheetId="3" r:id="rId4"/>
    <sheet name="Discounting" sheetId="4" r:id="rId5"/>
    <sheet name="EV to Equity Value" sheetId="5" r:id="rId6"/>
    <sheet name="DCF Full" sheetId="6" r:id="rId7"/>
  </sheets>
  <calcPr calcId="152511"/>
  <extLst>
    <ext uri="GoogleSheetsCustomDataVersion1">
      <go:sheetsCustomData xmlns:go="http://customooxmlschemas.google.com/" r:id="rId10" roundtripDataSignature="AMtx7mhkXNOltox9YMHCTh0RRGzBAsJ9og=="/>
    </ext>
  </extLst>
</workbook>
</file>

<file path=xl/calcChain.xml><?xml version="1.0" encoding="utf-8"?>
<calcChain xmlns="http://schemas.openxmlformats.org/spreadsheetml/2006/main">
  <c r="C13" i="5" l="1"/>
  <c r="C10" i="5"/>
  <c r="C15" i="4"/>
  <c r="H13" i="4"/>
  <c r="H12" i="4"/>
  <c r="G12" i="4"/>
  <c r="F12" i="4"/>
  <c r="E12" i="4"/>
  <c r="D12" i="4"/>
  <c r="H10" i="4"/>
  <c r="G10" i="4"/>
  <c r="F10" i="4"/>
  <c r="E10" i="4"/>
  <c r="D10" i="4"/>
  <c r="H15" i="3"/>
  <c r="H14" i="3"/>
  <c r="H13" i="3"/>
  <c r="C15" i="2"/>
  <c r="C14" i="2"/>
  <c r="C13" i="2"/>
  <c r="C11" i="2"/>
  <c r="C18" i="1"/>
  <c r="C17" i="1"/>
  <c r="C16" i="1"/>
  <c r="C15" i="1"/>
  <c r="C14" i="1"/>
</calcChain>
</file>

<file path=xl/sharedStrings.xml><?xml version="1.0" encoding="utf-8"?>
<sst xmlns="http://schemas.openxmlformats.org/spreadsheetml/2006/main" count="108" uniqueCount="70">
  <si>
    <t>Calculate the FCF</t>
  </si>
  <si>
    <t>Assumptions</t>
  </si>
  <si>
    <t>EBIT</t>
  </si>
  <si>
    <t>Tax Rate %</t>
  </si>
  <si>
    <t>Depreciation</t>
  </si>
  <si>
    <t>Amortization</t>
  </si>
  <si>
    <t>CapEx</t>
  </si>
  <si>
    <t>Non-cash Working Capital (inc) / dec</t>
  </si>
  <si>
    <t>Free Cash Flow</t>
  </si>
  <si>
    <t>Tax</t>
  </si>
  <si>
    <t>D&amp;A</t>
  </si>
  <si>
    <t>WACC Calculation</t>
  </si>
  <si>
    <t>Equity value</t>
  </si>
  <si>
    <t>Debt value</t>
  </si>
  <si>
    <t>Cost of Debt</t>
  </si>
  <si>
    <t>Tax rate</t>
  </si>
  <si>
    <t>10y Treasury</t>
  </si>
  <si>
    <t>Beta</t>
  </si>
  <si>
    <t>Market Return</t>
  </si>
  <si>
    <t>Cost of Equity</t>
  </si>
  <si>
    <t>E / D +E</t>
  </si>
  <si>
    <t>D / D+E</t>
  </si>
  <si>
    <t>WACC</t>
  </si>
  <si>
    <t>Terminal Value Calculation</t>
  </si>
  <si>
    <t>Growth rate</t>
  </si>
  <si>
    <t>EV/EBITDA Multiple</t>
  </si>
  <si>
    <t>Period</t>
  </si>
  <si>
    <t>EBITDA</t>
  </si>
  <si>
    <t>FCF</t>
  </si>
  <si>
    <t>Perpertuity Growth TV</t>
  </si>
  <si>
    <t>EV/ EBITDA TV</t>
  </si>
  <si>
    <t>Average</t>
  </si>
  <si>
    <t>Discounting Cash Flows</t>
  </si>
  <si>
    <t>Assumption</t>
  </si>
  <si>
    <t>Terminal Value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</si>
  <si>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</si>
  <si>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</si>
  <si>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</si>
  <si>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</si>
  <si>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</si>
  <si>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</si>
  <si>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</si>
  <si>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</si>
  <si>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</si>
  <si>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</si>
  <si>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</si>
  <si>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Share Price</t>
  </si>
  <si>
    <t>Discounted Cash Flow Full</t>
  </si>
  <si>
    <t>Assumptions pt1</t>
  </si>
  <si>
    <t>Assumptions pt2</t>
  </si>
  <si>
    <t>Tax Rate</t>
  </si>
  <si>
    <t>Free Cash Flows</t>
  </si>
  <si>
    <t>Non-cash Work. Capital (inc) / dec</t>
  </si>
  <si>
    <t>D/D+E</t>
  </si>
  <si>
    <t>E/D+E</t>
  </si>
  <si>
    <t>Exit Multiple (EV/EBITDA)</t>
  </si>
  <si>
    <t>Perpetuity Growth</t>
  </si>
  <si>
    <t>Discounting</t>
  </si>
  <si>
    <t>Discount Factor</t>
  </si>
  <si>
    <t>Short term Debt</t>
  </si>
  <si>
    <t>Long term Debt</t>
  </si>
  <si>
    <t>Implied Share Price</t>
  </si>
  <si>
    <r>
      <rPr>
        <sz val="16"/>
        <color theme="1"/>
        <rFont val="Calibri"/>
        <family val="2"/>
      </rPr>
      <t xml:space="preserve">Get </t>
    </r>
    <r>
      <rPr>
        <b/>
        <sz val="16"/>
        <color theme="1"/>
        <rFont val="Calibri"/>
        <family val="2"/>
      </rPr>
      <t>10% OFF</t>
    </r>
    <r>
      <rPr>
        <sz val="16"/>
        <color theme="1"/>
        <rFont val="Calibri"/>
        <family val="2"/>
      </rPr>
      <t xml:space="preserve"> our course using coupon code </t>
    </r>
    <r>
      <rPr>
        <b/>
        <sz val="16"/>
        <color theme="1"/>
        <rFont val="Calibri"/>
        <family val="2"/>
      </rPr>
      <t>EMAIL10</t>
    </r>
  </si>
  <si>
    <t>Get Our Excel for Business &amp; Finance Course</t>
  </si>
  <si>
    <t>Made by Kenji Explains</t>
  </si>
  <si>
    <t>Note</t>
  </si>
  <si>
    <t>This 3 statement Excel model is solely for educational purposes and should not be used for any other purpose.</t>
  </si>
  <si>
    <t>All content is copyright material of Kenji Explains.</t>
  </si>
  <si>
    <t>This Excel model may not be reproduced or distributed by any means, including printing, 
screencapturing, or any other method without the prior permission of the publisher.</t>
  </si>
  <si>
    <t>DCF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</si>
</sst>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;\(#,##0\)"/>
    <numFmt numFmtId="165" formatCode="0.0%"/>
    <numFmt numFmtId="166" formatCode="0.00\x"/>
    <numFmt numFmtId="167" formatCode="0.0"/>
    <numFmt numFmtId="168" formatCode="#,##0.00;\(#,##0.00\)"/>
  </numFmts>
  <fonts count="16" x14ac:knownFonts="1">
    <font>
      <sz val="12"/>
      <color theme="1"/>
      <name val="Arial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7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i/>
      <u/>
      <sz val="14"/>
      <color rgb="FF0432FF"/>
      <name val="Calibri"/>
      <family val="2"/>
    </font>
    <font>
      <b/>
      <sz val="11"/>
      <color theme="1"/>
      <name val="Calibri"/>
      <family val="2"/>
    </font>
    <font>
      <u/>
      <sz val="12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5">
    <xf numFmtId="0" fontId="0" fillId="0" borderId="0" xfId="0" applyFont="1" applyAlignment="1"/>
    <xf numFmtId="0" fontId="1" fillId="2" borderId="0" xfId="0" applyFont="1" applyFill="1"/>
    <xf numFmtId="0" fontId="4" fillId="0" borderId="3" xfId="0" applyFont="1" applyBorder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9" fontId="5" fillId="0" borderId="0" xfId="0" applyNumberFormat="1" applyFont="1"/>
    <xf numFmtId="0" fontId="6" fillId="3" borderId="4" xfId="0" applyFont="1" applyFill="1" applyBorder="1"/>
    <xf numFmtId="164" fontId="6" fillId="3" borderId="4" xfId="0" applyNumberFormat="1" applyFont="1" applyFill="1" applyBorder="1"/>
    <xf numFmtId="0" fontId="4" fillId="0" borderId="0" xfId="0" applyFont="1" applyAlignment="1">
      <alignment horizontal="left"/>
    </xf>
    <xf numFmtId="0" fontId="2" fillId="0" borderId="5" xfId="0" applyFont="1" applyBorder="1"/>
    <xf numFmtId="164" fontId="2" fillId="3" borderId="6" xfId="0" applyNumberFormat="1" applyFont="1" applyFill="1" applyBorder="1"/>
    <xf numFmtId="0" fontId="1" fillId="0" borderId="0" xfId="0" applyFont="1"/>
    <xf numFmtId="0" fontId="5" fillId="0" borderId="0" xfId="0" applyFont="1"/>
    <xf numFmtId="0" fontId="4" fillId="0" borderId="5" xfId="0" applyFont="1" applyBorder="1"/>
    <xf numFmtId="9" fontId="4" fillId="0" borderId="5" xfId="0" applyNumberFormat="1" applyFont="1" applyBorder="1"/>
    <xf numFmtId="9" fontId="4" fillId="0" borderId="0" xfId="0" applyNumberFormat="1" applyFont="1"/>
    <xf numFmtId="165" fontId="2" fillId="3" borderId="6" xfId="0" applyNumberFormat="1" applyFont="1" applyFill="1" applyBorder="1"/>
    <xf numFmtId="10" fontId="5" fillId="0" borderId="0" xfId="0" applyNumberFormat="1" applyFont="1"/>
    <xf numFmtId="166" fontId="5" fillId="0" borderId="0" xfId="0" applyNumberFormat="1" applyFont="1"/>
    <xf numFmtId="0" fontId="7" fillId="3" borderId="4" xfId="0" applyFont="1" applyFill="1" applyBorder="1"/>
    <xf numFmtId="0" fontId="4" fillId="0" borderId="0" xfId="0" applyFont="1" applyAlignment="1">
      <alignment horizontal="right"/>
    </xf>
    <xf numFmtId="167" fontId="4" fillId="3" borderId="4" xfId="0" applyNumberFormat="1" applyFont="1" applyFill="1" applyBorder="1"/>
    <xf numFmtId="0" fontId="4" fillId="0" borderId="3" xfId="0" applyFont="1" applyBorder="1" applyAlignment="1">
      <alignment horizontal="right"/>
    </xf>
    <xf numFmtId="167" fontId="4" fillId="3" borderId="8" xfId="0" applyNumberFormat="1" applyFont="1" applyFill="1" applyBorder="1"/>
    <xf numFmtId="2" fontId="4" fillId="0" borderId="5" xfId="0" applyNumberFormat="1" applyFont="1" applyBorder="1"/>
    <xf numFmtId="167" fontId="4" fillId="0" borderId="5" xfId="0" applyNumberFormat="1" applyFont="1" applyBorder="1"/>
    <xf numFmtId="0" fontId="2" fillId="0" borderId="0" xfId="0" applyFont="1"/>
    <xf numFmtId="167" fontId="2" fillId="3" borderId="4" xfId="0" applyNumberFormat="1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5" fillId="0" borderId="0" xfId="0" applyNumberFormat="1" applyFont="1"/>
    <xf numFmtId="167" fontId="5" fillId="0" borderId="0" xfId="0" applyNumberFormat="1" applyFont="1"/>
    <xf numFmtId="0" fontId="8" fillId="0" borderId="0" xfId="0" applyFont="1"/>
    <xf numFmtId="0" fontId="7" fillId="3" borderId="4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64" fontId="4" fillId="5" borderId="4" xfId="0" applyNumberFormat="1" applyFont="1" applyFill="1" applyBorder="1"/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/>
    <xf numFmtId="164" fontId="2" fillId="5" borderId="6" xfId="0" applyNumberFormat="1" applyFont="1" applyFill="1" applyBorder="1"/>
    <xf numFmtId="164" fontId="4" fillId="3" borderId="4" xfId="0" applyNumberFormat="1" applyFont="1" applyFill="1" applyBorder="1"/>
    <xf numFmtId="10" fontId="4" fillId="5" borderId="4" xfId="0" applyNumberFormat="1" applyFont="1" applyFill="1" applyBorder="1"/>
    <xf numFmtId="10" fontId="2" fillId="5" borderId="6" xfId="0" applyNumberFormat="1" applyFont="1" applyFill="1" applyBorder="1"/>
    <xf numFmtId="0" fontId="6" fillId="3" borderId="4" xfId="0" applyFont="1" applyFill="1" applyBorder="1" applyAlignment="1">
      <alignment horizontal="left"/>
    </xf>
    <xf numFmtId="168" fontId="4" fillId="5" borderId="4" xfId="0" applyNumberFormat="1" applyFont="1" applyFill="1" applyBorder="1"/>
    <xf numFmtId="168" fontId="2" fillId="5" borderId="6" xfId="0" applyNumberFormat="1" applyFont="1" applyFill="1" applyBorder="1"/>
    <xf numFmtId="0" fontId="0" fillId="3" borderId="4" xfId="0" applyFill="1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4" xfId="0" applyFont="1" applyFill="1" applyBorder="1"/>
    <xf numFmtId="0" fontId="1" fillId="0" borderId="11" xfId="0" applyFont="1" applyBorder="1"/>
    <xf numFmtId="0" fontId="10" fillId="0" borderId="0" xfId="0" applyFont="1"/>
    <xf numFmtId="0" fontId="1" fillId="0" borderId="12" xfId="0" applyFont="1" applyBorder="1"/>
    <xf numFmtId="0" fontId="0" fillId="3" borderId="4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2" fillId="0" borderId="0" xfId="0" applyFont="1"/>
    <xf numFmtId="0" fontId="13" fillId="0" borderId="14" xfId="0" applyFont="1" applyBorder="1"/>
    <xf numFmtId="0" fontId="0" fillId="0" borderId="0" xfId="0" applyAlignment="1">
      <alignment vertical="top" wrapText="1"/>
    </xf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9" fillId="0" borderId="6" xfId="0" applyFont="1" applyBorder="1" applyAlignment="1">
      <alignment horizontal="center"/>
    </xf>
    <xf numFmtId="0" fontId="15" fillId="5" borderId="13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2" fontId="1" fillId="0" borderId="5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6</xdr:row>
      <xdr:rowOff>76200</xdr:rowOff>
    </xdr:from>
    <xdr:ext cx="5229225" cy="904875"/>
    <xdr:pic>
      <xdr:nvPicPr>
        <xdr:cNvPr id="2" name="image3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</xdr:row>
      <xdr:rowOff>28575</xdr:rowOff>
    </xdr:from>
    <xdr:ext cx="4371975" cy="600075"/>
    <xdr:pic>
      <xdr:nvPicPr>
        <xdr:cNvPr id="3" name="image2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17</xdr:row>
      <xdr:rowOff>47625</xdr:rowOff>
    </xdr:from>
    <xdr:ext cx="3400425" cy="90487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12</xdr:row>
      <xdr:rowOff>171450</xdr:rowOff>
    </xdr:from>
    <xdr:ext cx="4010025" cy="742950"/>
    <xdr:pic>
      <xdr:nvPicPr>
        <xdr:cNvPr id="3" name="image4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19</xdr:row>
      <xdr:rowOff>171450</xdr:rowOff>
    </xdr:from>
    <xdr:ext cx="5572125" cy="923925"/>
    <xdr:pic>
      <xdr:nvPicPr>
        <xdr:cNvPr id="2" name="image5.png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742950</xdr:colOff>
      <xdr:row>14</xdr:row>
      <xdr:rowOff>152400</xdr:rowOff>
    </xdr:from>
    <xdr:ext cx="3962400" cy="914400"/>
    <xdr:pic>
      <xdr:nvPicPr>
        <xdr:cNvPr id="3" name="image6.png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discounted-cash-flow-oct-17-2021&amp;utm_campaign=YTDownlo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A2" sqref="A2"/>
    </sheetView>
  </sheetViews>
  <sheetFormatPr defaultColWidth="12.453125" defaultRowHeight="15" x14ac:dyDescent="0.25"/>
  <cols>
    <col min="1" max="1" width="9.36328125" style="50" customWidth="1"/>
    <col min="2" max="2" width="7.36328125" style="50" customWidth="1"/>
    <col min="3" max="3" width="88" style="50" customWidth="1"/>
    <col min="4" max="4" width="8.08984375" style="50" customWidth="1"/>
    <col min="5" max="6" width="9.36328125" style="50" customWidth="1"/>
    <col min="7" max="26" width="9.08984375" style="50" customWidth="1"/>
    <col min="27" max="16384" width="12.453125" style="50"/>
  </cols>
  <sheetData>
    <row r="1" spans="1:26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91.8" x14ac:dyDescent="1.65">
      <c r="A4" s="49"/>
      <c r="B4" s="51"/>
      <c r="C4" s="68" t="s">
        <v>69</v>
      </c>
      <c r="D4" s="52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x14ac:dyDescent="0.25">
      <c r="A5" s="49"/>
      <c r="B5" s="53"/>
      <c r="D5" s="54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x14ac:dyDescent="0.25">
      <c r="A6" s="49"/>
      <c r="B6" s="53"/>
      <c r="D6" s="54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x14ac:dyDescent="0.25">
      <c r="A7" s="49"/>
      <c r="B7" s="53"/>
      <c r="D7" s="54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21" x14ac:dyDescent="0.4">
      <c r="A8" s="55"/>
      <c r="B8" s="56"/>
      <c r="C8" s="57" t="s">
        <v>62</v>
      </c>
      <c r="D8" s="58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.6" x14ac:dyDescent="0.3">
      <c r="A9" s="55"/>
      <c r="B9" s="56"/>
      <c r="C9" s="12"/>
      <c r="D9" s="58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27" customHeight="1" x14ac:dyDescent="0.25">
      <c r="A10" s="59"/>
      <c r="B10" s="60"/>
      <c r="C10" s="69" t="s">
        <v>63</v>
      </c>
      <c r="D10" s="61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x14ac:dyDescent="0.25">
      <c r="A11" s="49"/>
      <c r="B11" s="53"/>
      <c r="D11" s="54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x14ac:dyDescent="0.25">
      <c r="A12" s="49"/>
      <c r="B12" s="53"/>
      <c r="D12" s="54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x14ac:dyDescent="0.25">
      <c r="A13" s="49"/>
      <c r="B13" s="53"/>
      <c r="D13" s="54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8" x14ac:dyDescent="0.35">
      <c r="A14" s="49"/>
      <c r="B14" s="53"/>
      <c r="C14" s="62" t="s">
        <v>64</v>
      </c>
      <c r="D14" s="54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x14ac:dyDescent="0.25">
      <c r="A15" s="49"/>
      <c r="B15" s="53"/>
      <c r="D15" s="54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5.6" x14ac:dyDescent="0.3">
      <c r="A16" s="49"/>
      <c r="B16" s="53"/>
      <c r="C16" s="63" t="s">
        <v>65</v>
      </c>
      <c r="D16" s="54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x14ac:dyDescent="0.25">
      <c r="A17" s="49"/>
      <c r="B17" s="53"/>
      <c r="C17" s="50" t="s">
        <v>66</v>
      </c>
      <c r="D17" s="54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x14ac:dyDescent="0.25">
      <c r="A18" s="49"/>
      <c r="B18" s="53"/>
      <c r="C18" s="50" t="s">
        <v>67</v>
      </c>
      <c r="D18" s="54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30" x14ac:dyDescent="0.25">
      <c r="A19" s="49"/>
      <c r="B19" s="53"/>
      <c r="C19" s="64" t="s">
        <v>68</v>
      </c>
      <c r="D19" s="54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x14ac:dyDescent="0.25">
      <c r="A20" s="49"/>
      <c r="B20" s="65"/>
      <c r="C20" s="66"/>
      <c r="D20" s="67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5.75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5.75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75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5.7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5.7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5.7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.7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.7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7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5.7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5.7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7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7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7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.7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7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7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.7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75" customHeight="1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5.75" customHeight="1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5.75" customHeight="1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5.75" customHeight="1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5.75" customHeight="1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5.75" customHeight="1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5.75" customHeight="1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5.75" customHeight="1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5.75" customHeight="1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5.75" customHeight="1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5.75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5.75" customHeight="1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5.75" customHeight="1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5.75" customHeight="1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5.75" customHeight="1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5.75" customHeight="1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5.75" customHeight="1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5.75" customHeight="1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5.75" customHeight="1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5.75" customHeight="1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5.75" customHeight="1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5.75" customHeight="1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5.75" customHeight="1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5.75" customHeight="1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5.75" customHeight="1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5.75" customHeight="1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5.75" customHeight="1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5.75" customHeight="1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5.75" customHeight="1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5.75" customHeight="1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75" customHeight="1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5.75" customHeight="1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5.75" customHeight="1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5.75" customHeight="1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5.75" customHeight="1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5.75" customHeight="1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5.75" customHeight="1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5.75" customHeight="1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5.75" customHeight="1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5.75" customHeight="1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5.75" customHeight="1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5.75" customHeight="1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5.75" customHeight="1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5.75" customHeight="1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5.75" customHeight="1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5.75" customHeight="1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5.75" customHeight="1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5.75" customHeight="1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5.75" customHeight="1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5.75" customHeight="1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5.75" customHeight="1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5.75" customHeight="1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5.75" customHeight="1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5.75" customHeight="1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5.75" customHeight="1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5.75" customHeight="1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5.75" customHeight="1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5.75" customHeight="1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5.75" customHeight="1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5.75" customHeight="1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5.75" customHeight="1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5.75" customHeight="1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5.75" customHeight="1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5.75" customHeight="1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5.75" customHeight="1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5.75" customHeight="1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5.75" customHeight="1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5.75" customHeight="1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5.75" customHeight="1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5.75" customHeight="1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5.75" customHeight="1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5.75" customHeight="1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5.75" customHeight="1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5.75" customHeight="1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5.75" customHeight="1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5.75" customHeight="1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5.75" customHeight="1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5.75" customHeight="1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5.75" customHeight="1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5.75" customHeight="1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5.75" customHeight="1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5.75" customHeight="1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5.75" customHeight="1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5.75" customHeight="1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5.75" customHeight="1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5.75" customHeight="1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5.75" customHeight="1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5.75" customHeight="1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5.75" customHeight="1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5.75" customHeight="1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5.75" customHeight="1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5.75" customHeight="1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5.75" customHeight="1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5.75" customHeight="1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5.75" customHeight="1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5.75" customHeight="1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5.75" customHeight="1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5.75" customHeight="1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5.75" customHeight="1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5.75" customHeight="1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5.75" customHeight="1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5.75" customHeight="1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5.75" customHeight="1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5.75" customHeight="1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5.75" customHeight="1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5.75" customHeight="1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5.75" customHeight="1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5.75" customHeight="1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5.75" customHeight="1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5.75" customHeight="1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5.75" customHeight="1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5.75" customHeight="1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5.75" customHeight="1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5.75" customHeight="1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5.75" customHeight="1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5.75" customHeight="1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5.75" customHeight="1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5.75" customHeight="1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5.75" customHeight="1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5.75" customHeight="1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5.75" customHeight="1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5.75" customHeight="1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5.75" customHeight="1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5.75" customHeight="1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5.75" customHeight="1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5.75" customHeight="1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5.75" customHeight="1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5.75" customHeight="1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5.75" customHeight="1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5.75" customHeight="1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5.75" customHeight="1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5.75" customHeight="1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5.75" customHeight="1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5.75" customHeight="1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5.75" customHeight="1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5.75" customHeight="1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5.75" customHeight="1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5.75" customHeight="1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5.75" customHeight="1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5.75" customHeight="1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5.75" customHeight="1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5.75" customHeight="1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5.75" customHeight="1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5.75" customHeight="1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5.75" customHeight="1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5.75" customHeight="1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5.75" customHeight="1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5.75" customHeight="1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5.75" customHeight="1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5.75" customHeight="1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5.75" customHeight="1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5.75" customHeight="1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5.75" customHeight="1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5.75" customHeight="1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5.75" customHeight="1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5.75" customHeight="1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5.75" customHeight="1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5.75" customHeight="1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5.75" customHeight="1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5.75" customHeight="1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5.75" customHeight="1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5.75" customHeight="1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5.75" customHeight="1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5.75" customHeight="1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5.75" customHeight="1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5.75" customHeight="1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5.75" customHeight="1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5.75" customHeight="1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5.75" customHeight="1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5.75" customHeight="1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5.75" customHeight="1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5.75" customHeight="1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5.75" customHeight="1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5.75" customHeight="1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5.75" customHeight="1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5.75" customHeight="1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5.75" customHeight="1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5.75" customHeight="1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5.75" customHeight="1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5.75" customHeight="1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5.75" customHeight="1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5.75" customHeight="1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5.75" customHeight="1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5.75" customHeight="1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5.75" customHeight="1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5.75" customHeight="1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5.75" customHeight="1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5.75" customHeight="1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5.75" customHeight="1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5.75" customHeight="1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5.75" customHeight="1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5.75" customHeight="1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5.75" customHeight="1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5.75" customHeight="1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5.75" customHeight="1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5.75" customHeight="1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5.75" customHeight="1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5.75" customHeight="1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5.75" customHeight="1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5.75" customHeight="1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5.75" customHeight="1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5.75" customHeight="1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5.75" customHeight="1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5.75" customHeight="1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5.75" customHeight="1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5.75" customHeight="1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5.75" customHeight="1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5.75" customHeight="1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5.75" customHeight="1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5.75" customHeight="1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5.75" customHeight="1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5.75" customHeight="1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5.75" customHeight="1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5.75" customHeight="1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5.75" customHeight="1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5.75" customHeight="1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5.75" customHeight="1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5.75" customHeight="1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5.75" customHeight="1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5.75" customHeight="1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5.75" customHeight="1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5.75" customHeight="1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5.75" customHeight="1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5.75" customHeight="1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5.75" customHeight="1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5.75" customHeight="1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5.75" customHeight="1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5.75" customHeight="1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5.75" customHeight="1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5.75" customHeight="1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5.75" customHeight="1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5.75" customHeight="1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5.75" customHeight="1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5.75" customHeight="1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5.75" customHeight="1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5.75" customHeight="1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5.75" customHeight="1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5.75" customHeight="1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5.75" customHeight="1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5.75" customHeight="1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5.75" customHeight="1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5.75" customHeight="1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5.75" customHeight="1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5.75" customHeight="1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5.75" customHeight="1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5.75" customHeight="1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5.75" customHeight="1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5.75" customHeight="1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5.75" customHeight="1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5.75" customHeight="1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5.75" customHeight="1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5.75" customHeight="1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5.75" customHeight="1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5.75" customHeight="1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5.75" customHeight="1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5.75" customHeight="1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5.75" customHeight="1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5.75" customHeight="1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5.75" customHeight="1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5.75" customHeight="1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5.75" customHeight="1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5.75" customHeight="1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5.75" customHeight="1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5.75" customHeight="1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5.75" customHeight="1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5.75" customHeight="1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5.75" customHeight="1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5.75" customHeight="1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5.75" customHeight="1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5.75" customHeight="1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5.75" customHeight="1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5.75" customHeight="1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5.75" customHeight="1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5.75" customHeight="1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5.75" customHeight="1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5.75" customHeight="1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5.75" customHeight="1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5.75" customHeight="1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5.75" customHeight="1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5.75" customHeight="1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5.75" customHeight="1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5.75" customHeight="1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5.75" customHeight="1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5.75" customHeight="1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5.75" customHeight="1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5.75" customHeight="1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5.75" customHeight="1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5.75" customHeight="1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5.75" customHeight="1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5.75" customHeight="1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5.75" customHeight="1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5.75" customHeight="1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5.75" customHeight="1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5.75" customHeight="1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5.75" customHeight="1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5.75" customHeight="1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5.75" customHeight="1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5.75" customHeight="1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5.75" customHeight="1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5.75" customHeight="1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5.75" customHeight="1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5.75" customHeight="1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5.75" customHeight="1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5.75" customHeight="1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5.75" customHeight="1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5.75" customHeight="1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5.75" customHeight="1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5.75" customHeight="1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5.75" customHeight="1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5.75" customHeight="1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5.75" customHeight="1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5.75" customHeight="1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5.75" customHeight="1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5.75" customHeight="1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5.75" customHeight="1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5.75" customHeight="1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5.75" customHeight="1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5.75" customHeight="1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5.75" customHeight="1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5.75" customHeight="1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5.75" customHeight="1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5.75" customHeight="1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5.75" customHeight="1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5.75" customHeight="1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5.75" customHeight="1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5.75" customHeight="1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5.75" customHeight="1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5.75" customHeight="1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5.75" customHeight="1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5.75" customHeight="1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5.75" customHeight="1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5.75" customHeight="1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5.75" customHeight="1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5.75" customHeight="1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5.75" customHeight="1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5.75" customHeight="1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5.75" customHeight="1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5.75" customHeight="1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5.75" customHeight="1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5.75" customHeight="1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5.75" customHeight="1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5.75" customHeight="1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5.75" customHeight="1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5.75" customHeight="1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5.75" customHeight="1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5.75" customHeight="1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5.75" customHeight="1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5.75" customHeight="1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5.75" customHeight="1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5.75" customHeight="1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5.75" customHeight="1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5.75" customHeight="1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5.75" customHeight="1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5.75" customHeight="1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5.75" customHeight="1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5.75" customHeight="1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5.75" customHeight="1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5.75" customHeight="1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5.75" customHeight="1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5.75" customHeight="1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5.75" customHeight="1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5.75" customHeight="1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5.75" customHeight="1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5.75" customHeight="1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5.75" customHeight="1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5.75" customHeight="1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5.75" customHeight="1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5.75" customHeight="1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5.75" customHeight="1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5.75" customHeight="1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5.75" customHeight="1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5.75" customHeight="1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5.75" customHeight="1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5.75" customHeight="1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5.75" customHeight="1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5.75" customHeight="1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5.75" customHeight="1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5.75" customHeight="1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5.75" customHeight="1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5.75" customHeight="1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5.75" customHeight="1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5.75" customHeight="1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5.75" customHeight="1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5.75" customHeight="1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5.75" customHeight="1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5.75" customHeight="1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5.75" customHeight="1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5.75" customHeight="1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5.75" customHeight="1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5.75" customHeight="1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5.75" customHeight="1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5.75" customHeight="1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5.75" customHeight="1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5.75" customHeight="1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5.75" customHeight="1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5.75" customHeight="1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5.75" customHeight="1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5.75" customHeight="1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5.75" customHeight="1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5.75" customHeight="1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5.75" customHeight="1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5.75" customHeight="1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5.75" customHeight="1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5.75" customHeight="1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5.75" customHeight="1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5.75" customHeight="1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5.75" customHeight="1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5.75" customHeight="1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5.75" customHeight="1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5.75" customHeight="1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5.75" customHeight="1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5.75" customHeight="1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5.75" customHeight="1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5.75" customHeight="1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5.75" customHeight="1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5.75" customHeight="1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5.75" customHeight="1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5.75" customHeight="1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5.75" customHeight="1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5.75" customHeight="1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5.75" customHeight="1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5.75" customHeight="1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5.75" customHeight="1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5.75" customHeight="1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5.75" customHeight="1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5.75" customHeight="1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5.75" customHeight="1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5.75" customHeight="1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5.75" customHeight="1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5.75" customHeight="1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5.75" customHeight="1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5.75" customHeight="1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5.75" customHeight="1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5.75" customHeight="1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5.75" customHeight="1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5.75" customHeight="1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5.75" customHeight="1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5.75" customHeight="1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5.75" customHeight="1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5.75" customHeight="1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5.75" customHeight="1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5.75" customHeight="1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5.75" customHeight="1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5.75" customHeight="1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5.75" customHeight="1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5.75" customHeight="1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5.75" customHeight="1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5.75" customHeight="1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5.75" customHeight="1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5.75" customHeight="1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5.75" customHeight="1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5.75" customHeight="1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5.75" customHeight="1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5.75" customHeight="1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5.75" customHeight="1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5.75" customHeight="1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5.75" customHeight="1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5.75" customHeight="1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5.75" customHeight="1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5.75" customHeight="1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5.75" customHeight="1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5.75" customHeight="1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5.75" customHeight="1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5.75" customHeight="1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5.75" customHeight="1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5.75" customHeight="1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5.75" customHeight="1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5.75" customHeight="1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5.75" customHeight="1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5.75" customHeight="1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5.75" customHeight="1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5.75" customHeight="1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5.75" customHeight="1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5.75" customHeight="1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5.75" customHeight="1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5.75" customHeight="1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5.75" customHeight="1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5.75" customHeight="1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5.75" customHeight="1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5.75" customHeight="1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5.75" customHeight="1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5.75" customHeight="1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5.75" customHeight="1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5.75" customHeight="1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5.75" customHeight="1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5.75" customHeight="1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5.75" customHeight="1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5.75" customHeight="1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5.75" customHeight="1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5.75" customHeight="1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5.75" customHeight="1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5.75" customHeight="1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5.75" customHeight="1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5.75" customHeight="1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5.75" customHeight="1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5.75" customHeight="1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5.75" customHeight="1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5.75" customHeight="1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5.75" customHeight="1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5.75" customHeight="1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5.75" customHeight="1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5.75" customHeight="1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ht="15.75" customHeight="1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sheetProtection algorithmName="SHA-512" hashValue="CyjoFIGJKDTINekekB39fC1newpg5NfQkD6ahWTuANrwlkOTKRMh3R4+M/q6H/e9njdyiNJfk5Yx5KWr1mKKjA==" saltValue="G2VAFzfgKTkRew9j9HQuRQ==" spinCount="100000" sheet="1" objects="1" scenarios="1"/>
  <hyperlinks>
    <hyperlink ref="C10" r:id="rId1"/>
    <hyperlink ref="C14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00"/>
  <sheetViews>
    <sheetView showGridLines="0" workbookViewId="0">
      <selection activeCell="C19" sqref="C19"/>
    </sheetView>
  </sheetViews>
  <sheetFormatPr defaultColWidth="11.36328125" defaultRowHeight="15" customHeight="1" x14ac:dyDescent="0.25"/>
  <cols>
    <col min="1" max="1" width="10.54296875" customWidth="1"/>
    <col min="2" max="2" width="33.36328125" customWidth="1"/>
    <col min="3" max="26" width="10.54296875" customWidth="1"/>
  </cols>
  <sheetData>
    <row r="1" spans="2:18" ht="15.75" customHeight="1" x14ac:dyDescent="0.3"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15.75" customHeight="1" x14ac:dyDescent="0.3">
      <c r="B2" s="70" t="s">
        <v>0</v>
      </c>
      <c r="C2" s="71"/>
    </row>
    <row r="3" spans="2:18" ht="15.75" customHeight="1" x14ac:dyDescent="0.25"/>
    <row r="4" spans="2:18" ht="15.75" customHeight="1" x14ac:dyDescent="0.3">
      <c r="B4" s="2" t="s">
        <v>1</v>
      </c>
      <c r="C4" s="2"/>
    </row>
    <row r="5" spans="2:18" ht="15.75" customHeight="1" x14ac:dyDescent="0.3">
      <c r="B5" s="3" t="s">
        <v>2</v>
      </c>
      <c r="C5" s="4">
        <v>150</v>
      </c>
      <c r="D5" s="5"/>
    </row>
    <row r="6" spans="2:18" ht="15.75" customHeight="1" x14ac:dyDescent="0.3">
      <c r="B6" s="3" t="s">
        <v>3</v>
      </c>
      <c r="C6" s="6">
        <v>0.25</v>
      </c>
      <c r="D6" s="5"/>
    </row>
    <row r="7" spans="2:18" ht="15.75" customHeight="1" x14ac:dyDescent="0.3">
      <c r="B7" s="3" t="s">
        <v>4</v>
      </c>
      <c r="C7" s="4">
        <v>15</v>
      </c>
      <c r="D7" s="5"/>
    </row>
    <row r="8" spans="2:18" ht="15.75" customHeight="1" x14ac:dyDescent="0.3">
      <c r="B8" s="3" t="s">
        <v>5</v>
      </c>
      <c r="C8" s="4">
        <v>20</v>
      </c>
      <c r="D8" s="5"/>
    </row>
    <row r="9" spans="2:18" ht="15.75" customHeight="1" x14ac:dyDescent="0.3">
      <c r="B9" s="3" t="s">
        <v>6</v>
      </c>
      <c r="C9" s="4">
        <v>50</v>
      </c>
      <c r="D9" s="5"/>
    </row>
    <row r="10" spans="2:18" ht="15.75" customHeight="1" x14ac:dyDescent="0.3">
      <c r="B10" s="3" t="s">
        <v>7</v>
      </c>
      <c r="C10" s="4">
        <v>-12</v>
      </c>
      <c r="D10" s="5"/>
    </row>
    <row r="11" spans="2:18" ht="15.75" customHeight="1" x14ac:dyDescent="0.3">
      <c r="B11" s="3"/>
      <c r="C11" s="4"/>
      <c r="D11" s="5"/>
    </row>
    <row r="12" spans="2:18" ht="15.75" customHeight="1" x14ac:dyDescent="0.3">
      <c r="B12" s="7" t="s">
        <v>8</v>
      </c>
      <c r="C12" s="8"/>
      <c r="D12" s="5"/>
    </row>
    <row r="13" spans="2:18" ht="15.75" customHeight="1" x14ac:dyDescent="0.3">
      <c r="B13" s="9" t="s">
        <v>2</v>
      </c>
      <c r="C13" s="5">
        <v>150</v>
      </c>
      <c r="D13" s="5"/>
    </row>
    <row r="14" spans="2:18" ht="15.75" customHeight="1" x14ac:dyDescent="0.3">
      <c r="B14" s="9" t="s">
        <v>9</v>
      </c>
      <c r="C14" s="5">
        <f>C5*-C6</f>
        <v>-37.5</v>
      </c>
      <c r="D14" s="5"/>
    </row>
    <row r="15" spans="2:18" ht="15.75" customHeight="1" x14ac:dyDescent="0.3">
      <c r="B15" s="9" t="s">
        <v>10</v>
      </c>
      <c r="C15" s="5">
        <f>C7+C8</f>
        <v>35</v>
      </c>
      <c r="D15" s="5"/>
    </row>
    <row r="16" spans="2:18" ht="15.75" customHeight="1" x14ac:dyDescent="0.3">
      <c r="B16" s="9" t="s">
        <v>6</v>
      </c>
      <c r="C16" s="5">
        <f>-C9</f>
        <v>-50</v>
      </c>
      <c r="D16" s="5"/>
    </row>
    <row r="17" spans="2:4" ht="15.75" customHeight="1" x14ac:dyDescent="0.3">
      <c r="B17" s="9" t="s">
        <v>7</v>
      </c>
      <c r="C17" s="5">
        <f>C10</f>
        <v>-12</v>
      </c>
      <c r="D17" s="5"/>
    </row>
    <row r="18" spans="2:4" ht="15.75" customHeight="1" x14ac:dyDescent="0.3">
      <c r="B18" s="10" t="s">
        <v>8</v>
      </c>
      <c r="C18" s="11">
        <f>SUM(C13:C17)</f>
        <v>85.5</v>
      </c>
      <c r="D18" s="5"/>
    </row>
    <row r="19" spans="2:4" ht="15.75" customHeight="1" x14ac:dyDescent="0.3">
      <c r="C19" s="5"/>
      <c r="D19" s="5"/>
    </row>
    <row r="20" spans="2:4" ht="15.75" customHeight="1" x14ac:dyDescent="0.3">
      <c r="C20" s="5"/>
      <c r="D20" s="5"/>
    </row>
    <row r="21" spans="2:4" ht="15.75" customHeight="1" x14ac:dyDescent="0.3">
      <c r="C21" s="5"/>
      <c r="D21" s="5"/>
    </row>
    <row r="22" spans="2:4" ht="15.75" customHeight="1" x14ac:dyDescent="0.3">
      <c r="C22" s="5"/>
      <c r="D22" s="5"/>
    </row>
    <row r="23" spans="2:4" ht="15.75" customHeight="1" x14ac:dyDescent="0.3">
      <c r="C23" s="5"/>
      <c r="D23" s="5"/>
    </row>
    <row r="24" spans="2:4" ht="15.75" customHeight="1" x14ac:dyDescent="0.3">
      <c r="C24" s="5"/>
      <c r="D24" s="5"/>
    </row>
    <row r="25" spans="2:4" ht="15.75" customHeight="1" x14ac:dyDescent="0.3">
      <c r="C25" s="5"/>
      <c r="D25" s="5"/>
    </row>
    <row r="26" spans="2:4" ht="15.75" customHeight="1" x14ac:dyDescent="0.3">
      <c r="C26" s="5"/>
      <c r="D26" s="5"/>
    </row>
    <row r="27" spans="2:4" ht="15.75" customHeight="1" x14ac:dyDescent="0.3">
      <c r="C27" s="5"/>
      <c r="D27" s="5"/>
    </row>
    <row r="28" spans="2:4" ht="15.75" customHeight="1" x14ac:dyDescent="0.3">
      <c r="C28" s="5"/>
      <c r="D28" s="5"/>
    </row>
    <row r="29" spans="2:4" ht="15.75" customHeight="1" x14ac:dyDescent="0.3">
      <c r="C29" s="5"/>
      <c r="D29" s="5"/>
    </row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00"/>
  <sheetViews>
    <sheetView showGridLines="0" workbookViewId="0">
      <selection activeCell="E24" sqref="E24"/>
    </sheetView>
  </sheetViews>
  <sheetFormatPr defaultColWidth="11.36328125" defaultRowHeight="15" customHeight="1" x14ac:dyDescent="0.25"/>
  <cols>
    <col min="1" max="1" width="10.54296875" customWidth="1"/>
    <col min="2" max="2" width="15.6328125" customWidth="1"/>
    <col min="3" max="3" width="11.36328125" customWidth="1"/>
    <col min="4" max="26" width="10.54296875" customWidth="1"/>
  </cols>
  <sheetData>
    <row r="1" spans="2:3" ht="15.75" customHeight="1" x14ac:dyDescent="0.25"/>
    <row r="2" spans="2:3" ht="15.75" customHeight="1" x14ac:dyDescent="0.3">
      <c r="B2" s="70" t="s">
        <v>11</v>
      </c>
      <c r="C2" s="71"/>
    </row>
    <row r="3" spans="2:3" ht="15.75" customHeight="1" x14ac:dyDescent="0.25"/>
    <row r="4" spans="2:3" ht="15.75" customHeight="1" x14ac:dyDescent="0.3">
      <c r="B4" s="12" t="s">
        <v>12</v>
      </c>
      <c r="C4" s="13">
        <v>175</v>
      </c>
    </row>
    <row r="5" spans="2:3" ht="15.75" customHeight="1" x14ac:dyDescent="0.3">
      <c r="B5" s="12" t="s">
        <v>13</v>
      </c>
      <c r="C5" s="13">
        <v>150</v>
      </c>
    </row>
    <row r="6" spans="2:3" ht="15.75" customHeight="1" x14ac:dyDescent="0.3">
      <c r="B6" s="12" t="s">
        <v>14</v>
      </c>
      <c r="C6" s="6">
        <v>0.05</v>
      </c>
    </row>
    <row r="7" spans="2:3" ht="15.75" customHeight="1" x14ac:dyDescent="0.3">
      <c r="B7" s="12" t="s">
        <v>15</v>
      </c>
      <c r="C7" s="6">
        <v>0.3</v>
      </c>
    </row>
    <row r="8" spans="2:3" ht="15.75" customHeight="1" x14ac:dyDescent="0.3">
      <c r="B8" s="12" t="s">
        <v>16</v>
      </c>
      <c r="C8" s="6">
        <v>0.02</v>
      </c>
    </row>
    <row r="9" spans="2:3" ht="15.75" customHeight="1" x14ac:dyDescent="0.3">
      <c r="B9" s="12" t="s">
        <v>17</v>
      </c>
      <c r="C9" s="13">
        <v>1.3</v>
      </c>
    </row>
    <row r="10" spans="2:3" ht="15.75" customHeight="1" x14ac:dyDescent="0.3">
      <c r="B10" s="12" t="s">
        <v>18</v>
      </c>
      <c r="C10" s="6">
        <v>0.08</v>
      </c>
    </row>
    <row r="11" spans="2:3" ht="15.75" customHeight="1" x14ac:dyDescent="0.3">
      <c r="B11" s="14" t="s">
        <v>19</v>
      </c>
      <c r="C11" s="15">
        <f>C8+C9*(C10-C8)</f>
        <v>9.8000000000000004E-2</v>
      </c>
    </row>
    <row r="12" spans="2:3" ht="15.75" customHeight="1" x14ac:dyDescent="0.25"/>
    <row r="13" spans="2:3" ht="15.75" customHeight="1" x14ac:dyDescent="0.3">
      <c r="B13" s="12" t="s">
        <v>20</v>
      </c>
      <c r="C13" s="16">
        <f>C4/SUM(C5+C4)</f>
        <v>0.53846153846153844</v>
      </c>
    </row>
    <row r="14" spans="2:3" ht="15.75" customHeight="1" x14ac:dyDescent="0.3">
      <c r="B14" s="12" t="s">
        <v>21</v>
      </c>
      <c r="C14" s="16">
        <f>C5/SUM(C5+C4)</f>
        <v>0.46153846153846156</v>
      </c>
    </row>
    <row r="15" spans="2:3" ht="15.75" customHeight="1" x14ac:dyDescent="0.3">
      <c r="B15" s="10" t="s">
        <v>22</v>
      </c>
      <c r="C15" s="17">
        <f>C13*C11+C14*C6*(1-C7)</f>
        <v>6.892307692307692E-2</v>
      </c>
    </row>
    <row r="16" spans="2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00"/>
  <sheetViews>
    <sheetView showGridLines="0" workbookViewId="0">
      <selection activeCell="H16" sqref="H16"/>
    </sheetView>
  </sheetViews>
  <sheetFormatPr defaultColWidth="11.36328125" defaultRowHeight="15" customHeight="1" x14ac:dyDescent="0.25"/>
  <cols>
    <col min="1" max="1" width="10.54296875" customWidth="1"/>
    <col min="2" max="2" width="23.453125" customWidth="1"/>
    <col min="3" max="6" width="10.54296875" customWidth="1"/>
    <col min="7" max="7" width="11.6328125" customWidth="1"/>
    <col min="8" max="26" width="10.54296875" customWidth="1"/>
  </cols>
  <sheetData>
    <row r="1" spans="2:8" ht="15.75" customHeight="1" x14ac:dyDescent="0.25"/>
    <row r="2" spans="2:8" ht="16.5" customHeight="1" x14ac:dyDescent="0.25">
      <c r="B2" s="72" t="s">
        <v>23</v>
      </c>
      <c r="C2" s="73"/>
      <c r="D2" s="73"/>
      <c r="E2" s="73"/>
      <c r="F2" s="73"/>
      <c r="G2" s="73"/>
      <c r="H2" s="71"/>
    </row>
    <row r="3" spans="2:8" ht="15.75" customHeight="1" x14ac:dyDescent="0.25"/>
    <row r="4" spans="2:8" ht="15.75" customHeight="1" x14ac:dyDescent="0.3">
      <c r="B4" s="2" t="s">
        <v>1</v>
      </c>
      <c r="C4" s="2"/>
    </row>
    <row r="5" spans="2:8" ht="15.75" customHeight="1" x14ac:dyDescent="0.3">
      <c r="B5" s="3" t="s">
        <v>22</v>
      </c>
      <c r="C5" s="6">
        <v>0.1</v>
      </c>
    </row>
    <row r="6" spans="2:8" ht="15.75" customHeight="1" x14ac:dyDescent="0.3">
      <c r="B6" s="3" t="s">
        <v>24</v>
      </c>
      <c r="C6" s="18">
        <v>2.5000000000000001E-2</v>
      </c>
    </row>
    <row r="7" spans="2:8" ht="15.75" customHeight="1" x14ac:dyDescent="0.3">
      <c r="B7" s="3" t="s">
        <v>25</v>
      </c>
      <c r="C7" s="19">
        <v>7</v>
      </c>
    </row>
    <row r="8" spans="2:8" ht="15.75" customHeight="1" x14ac:dyDescent="0.25"/>
    <row r="9" spans="2:8" ht="15.75" customHeight="1" x14ac:dyDescent="0.3">
      <c r="B9" s="20" t="s">
        <v>26</v>
      </c>
      <c r="C9" s="20">
        <v>0</v>
      </c>
      <c r="D9" s="20">
        <v>1</v>
      </c>
      <c r="E9" s="20">
        <v>2</v>
      </c>
      <c r="F9" s="20">
        <v>3</v>
      </c>
      <c r="G9" s="20">
        <v>4</v>
      </c>
      <c r="H9" s="20">
        <v>5</v>
      </c>
    </row>
    <row r="10" spans="2:8" ht="15.75" customHeight="1" x14ac:dyDescent="0.3">
      <c r="B10" s="12" t="s">
        <v>27</v>
      </c>
      <c r="D10" s="13">
        <v>100</v>
      </c>
      <c r="E10" s="13">
        <v>125</v>
      </c>
      <c r="F10" s="13">
        <v>135</v>
      </c>
      <c r="G10" s="13">
        <v>140</v>
      </c>
      <c r="H10" s="13">
        <v>142</v>
      </c>
    </row>
    <row r="11" spans="2:8" ht="15.75" customHeight="1" x14ac:dyDescent="0.3">
      <c r="B11" s="12" t="s">
        <v>28</v>
      </c>
      <c r="D11" s="13">
        <v>50</v>
      </c>
      <c r="E11" s="13">
        <v>60</v>
      </c>
      <c r="F11" s="13">
        <v>65</v>
      </c>
      <c r="G11" s="13">
        <v>70</v>
      </c>
      <c r="H11" s="13">
        <v>72</v>
      </c>
    </row>
    <row r="12" spans="2:8" ht="15.75" customHeight="1" x14ac:dyDescent="0.25"/>
    <row r="13" spans="2:8" ht="15.75" customHeight="1" x14ac:dyDescent="0.3">
      <c r="G13" s="21" t="s">
        <v>29</v>
      </c>
      <c r="H13" s="22">
        <f>H11*(1+C6)/(C5-C6)</f>
        <v>983.99999999999977</v>
      </c>
    </row>
    <row r="14" spans="2:8" ht="15.75" customHeight="1" x14ac:dyDescent="0.3">
      <c r="F14" s="2"/>
      <c r="G14" s="23" t="s">
        <v>30</v>
      </c>
      <c r="H14" s="24">
        <f>H10*C7</f>
        <v>994</v>
      </c>
    </row>
    <row r="15" spans="2:8" ht="15.75" customHeight="1" x14ac:dyDescent="0.3">
      <c r="G15" s="21" t="s">
        <v>31</v>
      </c>
      <c r="H15" s="22">
        <f>AVERAGE(H13:H14)</f>
        <v>988.99999999999989</v>
      </c>
    </row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00"/>
  <sheetViews>
    <sheetView showGridLines="0" workbookViewId="0">
      <selection activeCell="C16" sqref="C16"/>
    </sheetView>
  </sheetViews>
  <sheetFormatPr defaultColWidth="11.36328125" defaultRowHeight="15" customHeight="1" x14ac:dyDescent="0.25"/>
  <cols>
    <col min="1" max="1" width="10.54296875" customWidth="1"/>
    <col min="2" max="2" width="14.6328125" customWidth="1"/>
    <col min="3" max="26" width="10.54296875" customWidth="1"/>
  </cols>
  <sheetData>
    <row r="1" spans="2:8" ht="15.75" customHeight="1" x14ac:dyDescent="0.25"/>
    <row r="2" spans="2:8" ht="15.75" customHeight="1" x14ac:dyDescent="0.3">
      <c r="B2" s="70" t="s">
        <v>32</v>
      </c>
      <c r="C2" s="73"/>
      <c r="D2" s="73"/>
      <c r="E2" s="73"/>
      <c r="F2" s="73"/>
      <c r="G2" s="73"/>
      <c r="H2" s="71"/>
    </row>
    <row r="3" spans="2:8" ht="15.75" customHeight="1" x14ac:dyDescent="0.25"/>
    <row r="4" spans="2:8" ht="15.75" customHeight="1" x14ac:dyDescent="0.3">
      <c r="B4" s="2" t="s">
        <v>33</v>
      </c>
      <c r="C4" s="2"/>
    </row>
    <row r="5" spans="2:8" ht="15.75" customHeight="1" x14ac:dyDescent="0.3">
      <c r="B5" s="3" t="s">
        <v>22</v>
      </c>
      <c r="C5" s="6">
        <v>7.4999999999999997E-2</v>
      </c>
    </row>
    <row r="6" spans="2:8" ht="15.75" customHeight="1" x14ac:dyDescent="0.25"/>
    <row r="7" spans="2:8" ht="15.75" customHeight="1" x14ac:dyDescent="0.3">
      <c r="B7" s="20" t="s">
        <v>26</v>
      </c>
      <c r="C7" s="20">
        <v>0</v>
      </c>
      <c r="D7" s="20">
        <v>1</v>
      </c>
      <c r="E7" s="20">
        <v>2</v>
      </c>
      <c r="F7" s="20">
        <v>3</v>
      </c>
      <c r="G7" s="20">
        <v>4</v>
      </c>
      <c r="H7" s="20">
        <v>5</v>
      </c>
    </row>
    <row r="8" spans="2:8" ht="15.75" customHeight="1" x14ac:dyDescent="0.3">
      <c r="B8" s="12" t="s">
        <v>28</v>
      </c>
      <c r="D8" s="13">
        <v>100</v>
      </c>
      <c r="E8" s="13">
        <v>100</v>
      </c>
      <c r="F8" s="13">
        <v>100</v>
      </c>
      <c r="G8" s="13">
        <v>100</v>
      </c>
      <c r="H8" s="13">
        <v>100</v>
      </c>
    </row>
    <row r="9" spans="2:8" ht="15.75" customHeight="1" x14ac:dyDescent="0.3">
      <c r="B9" s="12" t="s">
        <v>34</v>
      </c>
      <c r="D9" s="13"/>
      <c r="E9" s="13"/>
      <c r="F9" s="13"/>
      <c r="G9" s="13"/>
      <c r="H9" s="13">
        <v>800</v>
      </c>
    </row>
    <row r="10" spans="2:8" ht="15.75" customHeight="1" x14ac:dyDescent="0.3">
      <c r="B10" s="14" t="s">
        <v>35</v>
      </c>
      <c r="C10" s="14"/>
      <c r="D10" s="25">
        <f>1/(1+$C$5)^D7</f>
        <v>0.93023255813953487</v>
      </c>
      <c r="E10" s="74">
        <f>1/(1+C5)^E7</f>
        <v>0.86533261222282321</v>
      </c>
      <c r="F10" s="25">
        <f>1/(1+C5)^F7</f>
        <v>0.80496056950960304</v>
      </c>
      <c r="G10" s="25">
        <f>1/(1+C5)^G7</f>
        <v>0.7488005297763749</v>
      </c>
      <c r="H10" s="25">
        <f>1/(1+C5)^H7</f>
        <v>0.69655863235011617</v>
      </c>
    </row>
    <row r="11" spans="2:8" ht="15.75" customHeight="1" x14ac:dyDescent="0.25"/>
    <row r="12" spans="2:8" ht="15.75" customHeight="1" x14ac:dyDescent="0.3">
      <c r="B12" s="14" t="s">
        <v>36</v>
      </c>
      <c r="C12" s="14"/>
      <c r="D12" s="26">
        <f>D8*D10</f>
        <v>93.023255813953483</v>
      </c>
      <c r="E12" s="26">
        <f>E8*E10</f>
        <v>86.53326122228232</v>
      </c>
      <c r="F12" s="26">
        <f>F8*F10</f>
        <v>80.496056950960309</v>
      </c>
      <c r="G12" s="26">
        <f>G8*G10</f>
        <v>74.88005297763749</v>
      </c>
      <c r="H12" s="26">
        <f>H8*H10</f>
        <v>69.655863235011623</v>
      </c>
    </row>
    <row r="13" spans="2:8" ht="15.75" customHeight="1" x14ac:dyDescent="0.3">
      <c r="B13" s="14" t="s">
        <v>37</v>
      </c>
      <c r="C13" s="14"/>
      <c r="D13" s="26"/>
      <c r="E13" s="26"/>
      <c r="F13" s="26"/>
      <c r="G13" s="26"/>
      <c r="H13" s="26">
        <f>H9*H10</f>
        <v>557.24690588009298</v>
      </c>
    </row>
    <row r="14" spans="2:8" ht="15.75" customHeight="1" x14ac:dyDescent="0.3">
      <c r="B14" s="2"/>
      <c r="C14" s="2"/>
    </row>
    <row r="15" spans="2:8" ht="15.75" customHeight="1" x14ac:dyDescent="0.3">
      <c r="B15" s="27" t="s">
        <v>38</v>
      </c>
      <c r="C15" s="28">
        <f>SUM(D12:H13)</f>
        <v>961.83539607993816</v>
      </c>
    </row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00"/>
  <sheetViews>
    <sheetView showGridLines="0" workbookViewId="0">
      <selection activeCell="C14" sqref="C14"/>
    </sheetView>
  </sheetViews>
  <sheetFormatPr defaultColWidth="11.36328125" defaultRowHeight="15" customHeight="1" x14ac:dyDescent="0.25"/>
  <cols>
    <col min="1" max="1" width="10.54296875" customWidth="1"/>
    <col min="2" max="2" width="28" customWidth="1"/>
    <col min="3" max="26" width="10.54296875" customWidth="1"/>
  </cols>
  <sheetData>
    <row r="1" spans="2:3" ht="15.75" customHeight="1" x14ac:dyDescent="0.25"/>
    <row r="2" spans="2:3" ht="15.75" customHeight="1" x14ac:dyDescent="0.25"/>
    <row r="3" spans="2:3" ht="15.75" customHeight="1" x14ac:dyDescent="0.3">
      <c r="B3" s="70" t="s">
        <v>39</v>
      </c>
      <c r="C3" s="71"/>
    </row>
    <row r="4" spans="2:3" ht="15.75" customHeight="1" x14ac:dyDescent="0.25"/>
    <row r="5" spans="2:3" ht="15.75" customHeight="1" x14ac:dyDescent="0.3">
      <c r="B5" s="12" t="s">
        <v>38</v>
      </c>
      <c r="C5" s="13">
        <v>2500</v>
      </c>
    </row>
    <row r="6" spans="2:3" ht="15.75" customHeight="1" x14ac:dyDescent="0.3">
      <c r="B6" s="12" t="s">
        <v>40</v>
      </c>
      <c r="C6" s="13">
        <v>50</v>
      </c>
    </row>
    <row r="7" spans="2:3" ht="15.75" customHeight="1" x14ac:dyDescent="0.3">
      <c r="B7" s="12" t="s">
        <v>41</v>
      </c>
      <c r="C7" s="13">
        <v>250</v>
      </c>
    </row>
    <row r="8" spans="2:3" ht="15.75" customHeight="1" x14ac:dyDescent="0.3">
      <c r="B8" s="12" t="s">
        <v>42</v>
      </c>
      <c r="C8" s="13">
        <v>350</v>
      </c>
    </row>
    <row r="9" spans="2:3" ht="15.75" customHeight="1" x14ac:dyDescent="0.3">
      <c r="B9" s="12" t="s">
        <v>43</v>
      </c>
      <c r="C9" s="13">
        <v>1200</v>
      </c>
    </row>
    <row r="10" spans="2:3" ht="15.75" customHeight="1" x14ac:dyDescent="0.3">
      <c r="B10" s="10" t="s">
        <v>44</v>
      </c>
      <c r="C10" s="29">
        <f>C5+SUM(C6:C7)-SUM(C8:C9)</f>
        <v>1250</v>
      </c>
    </row>
    <row r="11" spans="2:3" ht="15.75" customHeight="1" x14ac:dyDescent="0.25"/>
    <row r="12" spans="2:3" ht="15.75" customHeight="1" x14ac:dyDescent="0.3">
      <c r="B12" s="12" t="s">
        <v>45</v>
      </c>
      <c r="C12" s="13">
        <v>150</v>
      </c>
    </row>
    <row r="13" spans="2:3" ht="15.75" customHeight="1" x14ac:dyDescent="0.3">
      <c r="B13" s="10" t="s">
        <v>46</v>
      </c>
      <c r="C13" s="30">
        <f>C10/C12</f>
        <v>8.3333333333333339</v>
      </c>
    </row>
    <row r="14" spans="2:3" ht="15.75" customHeight="1" x14ac:dyDescent="0.25"/>
    <row r="15" spans="2:3" ht="15.75" customHeight="1" x14ac:dyDescent="0.25"/>
    <row r="16" spans="2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C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showGridLines="0" tabSelected="1" workbookViewId="0"/>
  </sheetViews>
  <sheetFormatPr defaultColWidth="11.36328125" defaultRowHeight="15" customHeight="1" x14ac:dyDescent="0.25"/>
  <cols>
    <col min="1" max="1" width="6.6328125" customWidth="1"/>
    <col min="2" max="2" width="31.08984375" customWidth="1"/>
    <col min="3" max="4" width="10.54296875" customWidth="1"/>
    <col min="5" max="5" width="13.08984375" customWidth="1"/>
    <col min="6" max="26" width="10.54296875" customWidth="1"/>
  </cols>
  <sheetData>
    <row r="1" spans="1:11" ht="15.75" customHeight="1" x14ac:dyDescent="0.25"/>
    <row r="2" spans="1:11" ht="15.75" customHeight="1" x14ac:dyDescent="0.3">
      <c r="B2" s="70" t="s">
        <v>47</v>
      </c>
      <c r="C2" s="73"/>
      <c r="D2" s="73"/>
      <c r="E2" s="73"/>
      <c r="F2" s="73"/>
      <c r="G2" s="73"/>
      <c r="H2" s="71"/>
    </row>
    <row r="3" spans="1:11" ht="15.75" customHeight="1" x14ac:dyDescent="0.3">
      <c r="A3" s="31"/>
      <c r="B3" s="32"/>
      <c r="C3" s="32"/>
      <c r="D3" s="32"/>
      <c r="E3" s="32"/>
      <c r="F3" s="32"/>
      <c r="G3" s="32"/>
      <c r="H3" s="32"/>
      <c r="I3" s="31"/>
    </row>
    <row r="4" spans="1:11" ht="15.75" customHeight="1" x14ac:dyDescent="0.3">
      <c r="B4" s="2" t="s">
        <v>48</v>
      </c>
      <c r="C4" s="2"/>
      <c r="E4" s="2" t="s">
        <v>49</v>
      </c>
      <c r="F4" s="2"/>
    </row>
    <row r="5" spans="1:11" ht="15.75" customHeight="1" x14ac:dyDescent="0.3">
      <c r="B5" s="3" t="s">
        <v>24</v>
      </c>
      <c r="C5" s="33">
        <v>1.7000000000000001E-2</v>
      </c>
      <c r="E5" s="3" t="s">
        <v>17</v>
      </c>
      <c r="F5" s="34">
        <v>1.3</v>
      </c>
    </row>
    <row r="6" spans="1:11" ht="15.75" customHeight="1" x14ac:dyDescent="0.3">
      <c r="B6" s="3" t="s">
        <v>25</v>
      </c>
      <c r="C6" s="19">
        <v>7</v>
      </c>
      <c r="E6" s="3" t="s">
        <v>18</v>
      </c>
      <c r="F6" s="6">
        <v>0.1</v>
      </c>
    </row>
    <row r="7" spans="1:11" ht="15.75" customHeight="1" x14ac:dyDescent="0.3">
      <c r="B7" s="3" t="s">
        <v>14</v>
      </c>
      <c r="C7" s="6">
        <v>0.05</v>
      </c>
      <c r="E7" s="35" t="s">
        <v>12</v>
      </c>
      <c r="F7" s="4">
        <v>17500</v>
      </c>
    </row>
    <row r="8" spans="1:11" ht="15.75" customHeight="1" x14ac:dyDescent="0.3">
      <c r="B8" s="3" t="s">
        <v>50</v>
      </c>
      <c r="C8" s="6">
        <v>0.25</v>
      </c>
      <c r="E8" s="35" t="s">
        <v>13</v>
      </c>
      <c r="F8" s="4">
        <v>15000</v>
      </c>
      <c r="J8" s="35"/>
      <c r="K8" s="13"/>
    </row>
    <row r="9" spans="1:11" ht="15.75" customHeight="1" x14ac:dyDescent="0.3">
      <c r="B9" s="3" t="s">
        <v>16</v>
      </c>
      <c r="C9" s="33">
        <v>1.4999999999999999E-2</v>
      </c>
      <c r="E9" s="3"/>
      <c r="F9" s="3"/>
      <c r="J9" s="35"/>
      <c r="K9" s="13"/>
    </row>
    <row r="10" spans="1:11" ht="15.75" customHeight="1" x14ac:dyDescent="0.3">
      <c r="C10" s="33"/>
      <c r="J10" s="35"/>
      <c r="K10" s="13"/>
    </row>
    <row r="11" spans="1:11" ht="15.75" customHeight="1" x14ac:dyDescent="0.3">
      <c r="J11" s="35"/>
      <c r="K11" s="13"/>
    </row>
    <row r="12" spans="1:11" ht="15.75" customHeight="1" x14ac:dyDescent="0.3">
      <c r="A12" s="9"/>
      <c r="B12" s="36" t="s">
        <v>26</v>
      </c>
      <c r="C12" s="20">
        <v>0</v>
      </c>
      <c r="D12" s="20">
        <v>1</v>
      </c>
      <c r="E12" s="20">
        <v>2</v>
      </c>
      <c r="F12" s="20">
        <v>3</v>
      </c>
      <c r="G12" s="20">
        <v>4</v>
      </c>
      <c r="H12" s="20">
        <v>5</v>
      </c>
      <c r="J12" s="35"/>
      <c r="K12" s="13"/>
    </row>
    <row r="13" spans="1:11" ht="15.75" customHeight="1" x14ac:dyDescent="0.3">
      <c r="A13" s="9"/>
      <c r="B13" s="37"/>
      <c r="C13" s="38"/>
      <c r="D13" s="38"/>
      <c r="E13" s="38"/>
      <c r="F13" s="38"/>
      <c r="G13" s="38"/>
      <c r="H13" s="38"/>
      <c r="I13" s="3"/>
      <c r="J13" s="35"/>
      <c r="K13" s="13"/>
    </row>
    <row r="14" spans="1:11" ht="15.75" customHeight="1" x14ac:dyDescent="0.3">
      <c r="B14" s="7" t="s">
        <v>51</v>
      </c>
      <c r="J14" s="35"/>
      <c r="K14" s="6"/>
    </row>
    <row r="15" spans="1:11" ht="15.75" customHeight="1" x14ac:dyDescent="0.3">
      <c r="B15" s="9" t="s">
        <v>2</v>
      </c>
      <c r="C15" s="5"/>
      <c r="D15" s="4">
        <v>5000</v>
      </c>
      <c r="E15" s="4">
        <v>5200</v>
      </c>
      <c r="F15" s="4">
        <v>5400</v>
      </c>
      <c r="G15" s="4">
        <v>5500</v>
      </c>
      <c r="H15" s="4">
        <v>5500</v>
      </c>
    </row>
    <row r="16" spans="1:11" ht="15.75" customHeight="1" x14ac:dyDescent="0.3">
      <c r="B16" s="9" t="s">
        <v>9</v>
      </c>
      <c r="C16" s="5"/>
      <c r="D16" s="39"/>
      <c r="E16" s="39"/>
      <c r="F16" s="39"/>
      <c r="G16" s="39"/>
      <c r="H16" s="39"/>
    </row>
    <row r="17" spans="2:8" ht="15.75" customHeight="1" x14ac:dyDescent="0.3">
      <c r="B17" s="9" t="s">
        <v>10</v>
      </c>
      <c r="C17" s="5"/>
      <c r="D17" s="4">
        <v>325</v>
      </c>
      <c r="E17" s="4">
        <v>330</v>
      </c>
      <c r="F17" s="4">
        <v>330</v>
      </c>
      <c r="G17" s="4">
        <v>320</v>
      </c>
      <c r="H17" s="4">
        <v>320</v>
      </c>
    </row>
    <row r="18" spans="2:8" ht="15.75" customHeight="1" x14ac:dyDescent="0.3">
      <c r="B18" s="9" t="s">
        <v>6</v>
      </c>
      <c r="C18" s="5"/>
      <c r="D18" s="4">
        <v>-1550</v>
      </c>
      <c r="E18" s="4">
        <v>-1550</v>
      </c>
      <c r="F18" s="4">
        <v>-1500</v>
      </c>
      <c r="G18" s="4">
        <v>-1500</v>
      </c>
      <c r="H18" s="4">
        <v>-1500</v>
      </c>
    </row>
    <row r="19" spans="2:8" ht="15.75" customHeight="1" x14ac:dyDescent="0.3">
      <c r="B19" s="9" t="s">
        <v>52</v>
      </c>
      <c r="C19" s="5"/>
      <c r="D19" s="4">
        <v>-180</v>
      </c>
      <c r="E19" s="4">
        <v>-170</v>
      </c>
      <c r="F19" s="4">
        <v>-160</v>
      </c>
      <c r="G19" s="4">
        <v>-150</v>
      </c>
      <c r="H19" s="4">
        <v>-145</v>
      </c>
    </row>
    <row r="20" spans="2:8" ht="15.75" customHeight="1" x14ac:dyDescent="0.3">
      <c r="B20" s="40" t="s">
        <v>28</v>
      </c>
      <c r="C20" s="41"/>
      <c r="D20" s="42"/>
      <c r="E20" s="42"/>
      <c r="F20" s="42"/>
      <c r="G20" s="42"/>
      <c r="H20" s="42"/>
    </row>
    <row r="21" spans="2:8" ht="15.75" customHeight="1" x14ac:dyDescent="0.3">
      <c r="C21" s="5"/>
      <c r="D21" s="5"/>
      <c r="E21" s="5"/>
      <c r="F21" s="5"/>
      <c r="G21" s="5"/>
      <c r="H21" s="5"/>
    </row>
    <row r="22" spans="2:8" ht="15.75" customHeight="1" x14ac:dyDescent="0.3">
      <c r="B22" s="7" t="s">
        <v>22</v>
      </c>
      <c r="C22" s="43"/>
      <c r="D22" s="5"/>
      <c r="E22" s="5"/>
      <c r="F22" s="5"/>
      <c r="G22" s="5"/>
      <c r="H22" s="5"/>
    </row>
    <row r="23" spans="2:8" ht="15.75" customHeight="1" x14ac:dyDescent="0.3">
      <c r="B23" s="9" t="s">
        <v>19</v>
      </c>
      <c r="C23" s="44"/>
      <c r="D23" s="5"/>
      <c r="E23" s="5"/>
      <c r="F23" s="5"/>
      <c r="G23" s="5"/>
      <c r="H23" s="5"/>
    </row>
    <row r="24" spans="2:8" ht="15.75" customHeight="1" x14ac:dyDescent="0.3">
      <c r="B24" s="9" t="s">
        <v>53</v>
      </c>
      <c r="C24" s="44"/>
      <c r="D24" s="5"/>
      <c r="E24" s="5"/>
      <c r="F24" s="5"/>
      <c r="G24" s="5"/>
      <c r="H24" s="5"/>
    </row>
    <row r="25" spans="2:8" ht="15.75" customHeight="1" x14ac:dyDescent="0.3">
      <c r="B25" s="9" t="s">
        <v>54</v>
      </c>
      <c r="C25" s="44"/>
      <c r="D25" s="5"/>
      <c r="E25" s="5"/>
      <c r="F25" s="5"/>
      <c r="G25" s="5"/>
      <c r="H25" s="5"/>
    </row>
    <row r="26" spans="2:8" ht="15.75" customHeight="1" x14ac:dyDescent="0.3">
      <c r="B26" s="40" t="s">
        <v>22</v>
      </c>
      <c r="C26" s="45"/>
      <c r="D26" s="5"/>
      <c r="E26" s="5"/>
      <c r="F26" s="5"/>
      <c r="G26" s="5"/>
      <c r="H26" s="5"/>
    </row>
    <row r="27" spans="2:8" ht="15.75" customHeight="1" x14ac:dyDescent="0.3">
      <c r="C27" s="5"/>
      <c r="D27" s="5"/>
      <c r="E27" s="5"/>
      <c r="F27" s="5"/>
      <c r="G27" s="5"/>
      <c r="H27" s="5"/>
    </row>
    <row r="28" spans="2:8" ht="15.75" customHeight="1" x14ac:dyDescent="0.3">
      <c r="B28" s="7" t="s">
        <v>34</v>
      </c>
      <c r="C28" s="43"/>
      <c r="D28" s="43"/>
      <c r="E28" s="43"/>
      <c r="F28" s="43"/>
      <c r="G28" s="43"/>
      <c r="H28" s="43"/>
    </row>
    <row r="29" spans="2:8" ht="15.75" customHeight="1" x14ac:dyDescent="0.3">
      <c r="B29" s="9" t="s">
        <v>27</v>
      </c>
      <c r="C29" s="5"/>
      <c r="D29" s="5"/>
      <c r="E29" s="5"/>
      <c r="F29" s="5"/>
      <c r="G29" s="5"/>
      <c r="H29" s="39"/>
    </row>
    <row r="30" spans="2:8" ht="15.75" customHeight="1" x14ac:dyDescent="0.3">
      <c r="B30" s="9" t="s">
        <v>55</v>
      </c>
      <c r="C30" s="5"/>
      <c r="D30" s="5"/>
      <c r="E30" s="5"/>
      <c r="F30" s="5"/>
      <c r="G30" s="5"/>
      <c r="H30" s="39"/>
    </row>
    <row r="31" spans="2:8" ht="15.75" customHeight="1" x14ac:dyDescent="0.3">
      <c r="B31" s="9" t="s">
        <v>56</v>
      </c>
      <c r="C31" s="5"/>
      <c r="D31" s="5"/>
      <c r="E31" s="5"/>
      <c r="F31" s="5"/>
      <c r="G31" s="5"/>
      <c r="H31" s="39"/>
    </row>
    <row r="32" spans="2:8" ht="15.75" customHeight="1" x14ac:dyDescent="0.3">
      <c r="B32" s="40" t="s">
        <v>31</v>
      </c>
      <c r="C32" s="41"/>
      <c r="D32" s="41"/>
      <c r="E32" s="41"/>
      <c r="F32" s="41"/>
      <c r="G32" s="41"/>
      <c r="H32" s="42"/>
    </row>
    <row r="33" spans="2:8" ht="15.75" customHeight="1" x14ac:dyDescent="0.3">
      <c r="C33" s="5"/>
      <c r="D33" s="5"/>
      <c r="E33" s="5"/>
      <c r="F33" s="5"/>
      <c r="G33" s="5"/>
      <c r="H33" s="5"/>
    </row>
    <row r="34" spans="2:8" ht="15.75" customHeight="1" x14ac:dyDescent="0.3">
      <c r="B34" s="46" t="s">
        <v>57</v>
      </c>
      <c r="C34" s="43"/>
      <c r="D34" s="43"/>
      <c r="E34" s="43"/>
      <c r="F34" s="43"/>
      <c r="G34" s="43"/>
      <c r="H34" s="43"/>
    </row>
    <row r="35" spans="2:8" ht="15.75" customHeight="1" x14ac:dyDescent="0.3">
      <c r="B35" s="9" t="s">
        <v>58</v>
      </c>
      <c r="C35" s="5"/>
      <c r="D35" s="47"/>
      <c r="E35" s="47"/>
      <c r="F35" s="47"/>
      <c r="G35" s="47"/>
      <c r="H35" s="47"/>
    </row>
    <row r="36" spans="2:8" ht="15.75" customHeight="1" x14ac:dyDescent="0.3">
      <c r="B36" s="9" t="s">
        <v>36</v>
      </c>
      <c r="C36" s="5"/>
      <c r="D36" s="39"/>
      <c r="E36" s="39"/>
      <c r="F36" s="39"/>
      <c r="G36" s="39"/>
      <c r="H36" s="39"/>
    </row>
    <row r="37" spans="2:8" ht="15.75" customHeight="1" x14ac:dyDescent="0.3">
      <c r="B37" s="9" t="s">
        <v>37</v>
      </c>
      <c r="C37" s="5"/>
      <c r="D37" s="5"/>
      <c r="E37" s="5"/>
      <c r="F37" s="5"/>
      <c r="G37" s="5"/>
      <c r="H37" s="39"/>
    </row>
    <row r="38" spans="2:8" ht="15.75" customHeight="1" x14ac:dyDescent="0.3">
      <c r="B38" s="40" t="s">
        <v>38</v>
      </c>
      <c r="C38" s="42"/>
      <c r="D38" s="5"/>
      <c r="E38" s="5"/>
      <c r="F38" s="5"/>
      <c r="G38" s="5"/>
      <c r="H38" s="5"/>
    </row>
    <row r="39" spans="2:8" ht="15.75" customHeight="1" x14ac:dyDescent="0.3">
      <c r="D39" s="5"/>
      <c r="E39" s="5"/>
      <c r="F39" s="5"/>
      <c r="G39" s="5"/>
      <c r="H39" s="5"/>
    </row>
    <row r="40" spans="2:8" ht="15.75" customHeight="1" x14ac:dyDescent="0.3">
      <c r="B40" s="7" t="s">
        <v>39</v>
      </c>
      <c r="C40" s="43"/>
      <c r="D40" s="5"/>
      <c r="E40" s="5"/>
      <c r="F40" s="5"/>
      <c r="G40" s="5"/>
      <c r="H40" s="5"/>
    </row>
    <row r="41" spans="2:8" ht="15.75" customHeight="1" x14ac:dyDescent="0.3">
      <c r="B41" s="9" t="s">
        <v>40</v>
      </c>
      <c r="C41" s="4">
        <v>500</v>
      </c>
      <c r="D41" s="5"/>
      <c r="E41" s="5"/>
      <c r="F41" s="5"/>
      <c r="G41" s="5"/>
      <c r="H41" s="5"/>
    </row>
    <row r="42" spans="2:8" ht="15.75" customHeight="1" x14ac:dyDescent="0.3">
      <c r="B42" s="9" t="s">
        <v>41</v>
      </c>
      <c r="C42" s="4">
        <v>4500</v>
      </c>
      <c r="D42" s="5"/>
      <c r="E42" s="5"/>
      <c r="F42" s="5"/>
      <c r="G42" s="5"/>
      <c r="H42" s="5"/>
    </row>
    <row r="43" spans="2:8" ht="15.75" customHeight="1" x14ac:dyDescent="0.3">
      <c r="B43" s="9" t="s">
        <v>59</v>
      </c>
      <c r="C43" s="4">
        <v>3650</v>
      </c>
      <c r="D43" s="5"/>
      <c r="E43" s="5"/>
      <c r="F43" s="5"/>
      <c r="G43" s="5"/>
      <c r="H43" s="5"/>
    </row>
    <row r="44" spans="2:8" ht="15.75" customHeight="1" x14ac:dyDescent="0.3">
      <c r="B44" s="9" t="s">
        <v>60</v>
      </c>
      <c r="C44" s="4">
        <v>16540</v>
      </c>
      <c r="D44" s="5"/>
      <c r="E44" s="5"/>
      <c r="F44" s="5"/>
      <c r="G44" s="5"/>
      <c r="H44" s="5"/>
    </row>
    <row r="45" spans="2:8" ht="15.75" customHeight="1" x14ac:dyDescent="0.3">
      <c r="B45" s="40" t="s">
        <v>44</v>
      </c>
      <c r="C45" s="42"/>
      <c r="D45" s="5"/>
      <c r="E45" s="5"/>
      <c r="F45" s="5"/>
      <c r="G45" s="5"/>
      <c r="H45" s="5"/>
    </row>
    <row r="46" spans="2:8" ht="15.75" customHeight="1" x14ac:dyDescent="0.3">
      <c r="C46" s="5"/>
      <c r="D46" s="5"/>
      <c r="E46" s="5"/>
      <c r="F46" s="5"/>
      <c r="G46" s="5"/>
      <c r="H46" s="5"/>
    </row>
    <row r="47" spans="2:8" ht="15.75" customHeight="1" x14ac:dyDescent="0.3">
      <c r="B47" s="9" t="s">
        <v>45</v>
      </c>
      <c r="C47" s="4">
        <v>1000</v>
      </c>
      <c r="D47" s="5"/>
      <c r="E47" s="5"/>
      <c r="F47" s="5"/>
      <c r="G47" s="5"/>
      <c r="H47" s="5"/>
    </row>
    <row r="48" spans="2:8" ht="15.75" customHeight="1" x14ac:dyDescent="0.3">
      <c r="B48" s="40" t="s">
        <v>61</v>
      </c>
      <c r="C48" s="48"/>
      <c r="D48" s="5"/>
      <c r="E48" s="5"/>
      <c r="F48" s="5"/>
      <c r="G48" s="5"/>
      <c r="H48" s="5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FCF</vt:lpstr>
      <vt:lpstr>WACC</vt:lpstr>
      <vt:lpstr>Terminal Value</vt:lpstr>
      <vt:lpstr>Discounting</vt:lpstr>
      <vt:lpstr>EV to Equity Value</vt:lpstr>
      <vt:lpstr>DCF Full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Sanat Mishra</cp:lastModifiedBy>
  <dcterms:created xsi:type="dcterms:W3CDTF">2021-10-04T07:58:36Z</dcterms:created>
  <dcterms:modified xsi:type="dcterms:W3CDTF">2024-06-08T20:54:00Z</dcterms:modified>
</cp:coreProperties>
</file>